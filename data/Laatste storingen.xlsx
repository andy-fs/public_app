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WBR" sheetId="1" r:id="rId4"/>
    <sheet state="visible" name="HGWBRZ" sheetId="2" r:id="rId5"/>
    <sheet state="visible" name="HGWBRN" sheetId="3" r:id="rId6"/>
  </sheets>
  <definedNames/>
  <calcPr/>
</workbook>
</file>

<file path=xl/sharedStrings.xml><?xml version="1.0" encoding="utf-8"?>
<sst xmlns="http://schemas.openxmlformats.org/spreadsheetml/2006/main" count="252" uniqueCount="75">
  <si>
    <t>Datumtijd</t>
  </si>
  <si>
    <t xml:space="preserve">Bericht </t>
  </si>
  <si>
    <t>Fase van de beweging</t>
  </si>
  <si>
    <t>onderdeel</t>
  </si>
  <si>
    <t>hoelang gemiddelde storing in dat onderdeel (minuten)</t>
  </si>
  <si>
    <t>hoe vaak voorgekomen in het laatste jaar</t>
  </si>
  <si>
    <t>Hoe vaak voorgekomen laatste maand</t>
  </si>
  <si>
    <r>
      <rPr>
        <rFont val="Arial"/>
        <b/>
        <color theme="1"/>
      </rPr>
      <t>Hoe vaak voorgekomen laatste week</t>
    </r>
    <r>
      <rPr>
        <rFont val="Arial"/>
        <color theme="1"/>
      </rPr>
      <t xml:space="preserve"> </t>
    </r>
  </si>
  <si>
    <t>Gemiddeld hoevaak voorgekomen per maand</t>
  </si>
  <si>
    <t>Gemiddeld hoevaak voorgekomen per week</t>
  </si>
  <si>
    <t>01.12.2023 6:00:18</t>
  </si>
  <si>
    <t>Bew.werk Diag_EindPos-DichtOnvVerlaten</t>
  </si>
  <si>
    <t>heffen</t>
  </si>
  <si>
    <t>bewegingswerk</t>
  </si>
  <si>
    <t>Bew.werk Diag_Pos-NietDichtOnvVerlaten</t>
  </si>
  <si>
    <t xml:space="preserve">heffen </t>
  </si>
  <si>
    <t>01.12.2023 6:00:19</t>
  </si>
  <si>
    <t>Hydrauliek pomp Lekbeveiliging (Rhslb1)</t>
  </si>
  <si>
    <t xml:space="preserve">voor heffen </t>
  </si>
  <si>
    <t>hydrogroep</t>
  </si>
  <si>
    <t>01.12.2023 6:01:01</t>
  </si>
  <si>
    <t>02.12.2023 8:31:25</t>
  </si>
  <si>
    <t>Onjuist scheepvaartseinbeeld tijdens indrukken drukknop sluiten</t>
  </si>
  <si>
    <t>dichtdraaien</t>
  </si>
  <si>
    <t>bedienmodeselectie</t>
  </si>
  <si>
    <t>02.12.2023 8:31:26</t>
  </si>
  <si>
    <t>02.12.2023 8:32:37</t>
  </si>
  <si>
    <t>02.12.2023 8:32:38</t>
  </si>
  <si>
    <t>02.12.2023 8:33:33</t>
  </si>
  <si>
    <t>02.12.2023 08:33:33</t>
  </si>
  <si>
    <t>Bew.werk Diag_Pos_NietDichtOnvVerlaten</t>
  </si>
  <si>
    <t>03.12.2023 20:31:43</t>
  </si>
  <si>
    <t>Bew.werk Diag_EindPos_DichtOnvVerlaten</t>
  </si>
  <si>
    <t>03.12.2023 20:31:44</t>
  </si>
  <si>
    <t>03.12.2023 20:32:25</t>
  </si>
  <si>
    <t>04.12.2023 06:02:11</t>
  </si>
  <si>
    <t>04.12.2023 06:02:12</t>
  </si>
  <si>
    <t>04.12.2023 06:03:16</t>
  </si>
  <si>
    <t>07.12.2023 20:31:11</t>
  </si>
  <si>
    <t>07.12.2023 20:31:12</t>
  </si>
  <si>
    <t>07.12.2023 20:31:47</t>
  </si>
  <si>
    <t>07.12.2023 20:33:07</t>
  </si>
  <si>
    <t>Onjuist scheepvaartseinbeeld tijdens indrukken drukknop sl...</t>
  </si>
  <si>
    <t>07.12.2023 20:33:08</t>
  </si>
  <si>
    <t>Datum en tijd</t>
  </si>
  <si>
    <t>Bericht</t>
  </si>
  <si>
    <t>Onderdeel</t>
  </si>
  <si>
    <t>Gemiddelde duur storing (minuten)</t>
  </si>
  <si>
    <t>Hoe vaak voorgekomen in het laatste jaar</t>
  </si>
  <si>
    <r>
      <rPr>
        <rFont val="Arial"/>
        <b/>
        <color theme="1"/>
      </rPr>
      <t>Hoe vaak voorgekomen laatste week</t>
    </r>
    <r>
      <rPr>
        <rFont val="Arial"/>
        <color theme="1"/>
      </rPr>
      <t xml:space="preserve"> </t>
    </r>
  </si>
  <si>
    <t>Achter elkaar voorgekomen</t>
  </si>
  <si>
    <t>Eindtijd</t>
  </si>
  <si>
    <t>07.12.2023 20:29:10</t>
  </si>
  <si>
    <t>Onjuist scheepsvaarseinbeeld tijdens indrukken drukknop sluiten</t>
  </si>
  <si>
    <t>MCI Terugtrekken</t>
  </si>
  <si>
    <t>Bedienmodeselectie</t>
  </si>
  <si>
    <t>07.12.2023 20:29:11</t>
  </si>
  <si>
    <t>09.12.2023 19:07:41</t>
  </si>
  <si>
    <t>Windkracht op limietwaarde, geen brugbediening</t>
  </si>
  <si>
    <t>Windbewaking</t>
  </si>
  <si>
    <t>-</t>
  </si>
  <si>
    <t>11.12.2023 9:33:12</t>
  </si>
  <si>
    <t>11.12.2023 09:49:23</t>
  </si>
  <si>
    <t>Bedieningssleutel (Bsl) uitgeschakeld</t>
  </si>
  <si>
    <t>Brug dicht</t>
  </si>
  <si>
    <t>ModeSel Diag_GeenVrijgaveBedienmode afstand brugpost</t>
  </si>
  <si>
    <t>11.12.2023 10:28:17</t>
  </si>
  <si>
    <t>11.12.2023 10:28:19</t>
  </si>
  <si>
    <t>11.12.2023 10:29:29</t>
  </si>
  <si>
    <t>13.12.2023 09:18:54</t>
  </si>
  <si>
    <t>13.12.2023 09:18:56</t>
  </si>
  <si>
    <t>hoelang gemiddelde storing in dat onderdeel</t>
  </si>
  <si>
    <r>
      <rPr>
        <rFont val="Arial"/>
        <b/>
        <color theme="1"/>
      </rPr>
      <t>Hoe vaak voorgekomen laatste week</t>
    </r>
    <r>
      <rPr>
        <rFont val="Arial"/>
        <color theme="1"/>
      </rPr>
      <t xml:space="preserve"> </t>
    </r>
  </si>
  <si>
    <t>Brug Dicht</t>
  </si>
  <si>
    <t>13.12.2023 09:18:57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</si>
</sst>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B1C1D"/>
      <name val="Arial"/>
    </font>
    <font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readingOrder="0" shrinkToFit="0" wrapText="0"/>
    </xf>
    <xf borderId="0" fillId="2" fontId="5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48.75"/>
    <col customWidth="1" min="3" max="3" width="22.13"/>
    <col customWidth="1" min="4" max="4" width="16.38"/>
    <col customWidth="1" min="5" max="5" width="46.38"/>
    <col customWidth="1" min="6" max="6" width="35.0"/>
    <col customWidth="1" min="7" max="7" width="31.0"/>
    <col customWidth="1" min="8" max="8" width="29.5"/>
    <col customWidth="1" min="9" max="9" width="34.75"/>
    <col customWidth="1" min="10" max="10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>
        <v>1.22</v>
      </c>
      <c r="F2" s="2">
        <v>362.0</v>
      </c>
      <c r="G2" s="2">
        <v>18.0</v>
      </c>
      <c r="H2" s="2">
        <v>10.0</v>
      </c>
      <c r="I2" s="2">
        <f t="shared" ref="I2:I35" si="1"> F2 / 12</f>
        <v>30.16666667</v>
      </c>
      <c r="J2" s="3">
        <f t="shared" ref="J2:J35" si="2"> F2 / 52</f>
        <v>6.961538462</v>
      </c>
    </row>
    <row r="3">
      <c r="A3" s="2" t="s">
        <v>10</v>
      </c>
      <c r="B3" s="2" t="s">
        <v>14</v>
      </c>
      <c r="C3" s="2" t="s">
        <v>15</v>
      </c>
      <c r="D3" s="2" t="s">
        <v>13</v>
      </c>
      <c r="E3" s="2">
        <v>1.22</v>
      </c>
      <c r="F3" s="2">
        <v>362.0</v>
      </c>
      <c r="G3" s="2">
        <v>18.0</v>
      </c>
      <c r="H3" s="2">
        <v>10.0</v>
      </c>
      <c r="I3" s="2">
        <f t="shared" si="1"/>
        <v>30.16666667</v>
      </c>
      <c r="J3" s="3">
        <f t="shared" si="2"/>
        <v>6.961538462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>
        <v>1.48</v>
      </c>
      <c r="F4" s="2">
        <v>361.0</v>
      </c>
      <c r="G4" s="2">
        <v>16.0</v>
      </c>
      <c r="H4" s="2">
        <v>10.0</v>
      </c>
      <c r="I4" s="2">
        <f t="shared" si="1"/>
        <v>30.08333333</v>
      </c>
      <c r="J4" s="3">
        <f t="shared" si="2"/>
        <v>6.942307692</v>
      </c>
    </row>
    <row r="5">
      <c r="A5" s="2" t="s">
        <v>20</v>
      </c>
      <c r="B5" s="2" t="s">
        <v>11</v>
      </c>
      <c r="C5" s="2" t="s">
        <v>12</v>
      </c>
      <c r="D5" s="2" t="s">
        <v>13</v>
      </c>
      <c r="E5" s="2">
        <v>1.22</v>
      </c>
      <c r="F5" s="2">
        <v>362.0</v>
      </c>
      <c r="G5" s="2">
        <v>18.0</v>
      </c>
      <c r="H5" s="2">
        <v>10.0</v>
      </c>
      <c r="I5" s="2">
        <f t="shared" si="1"/>
        <v>30.16666667</v>
      </c>
      <c r="J5" s="3">
        <f t="shared" si="2"/>
        <v>6.961538462</v>
      </c>
    </row>
    <row r="6">
      <c r="A6" s="2" t="s">
        <v>20</v>
      </c>
      <c r="B6" s="2" t="s">
        <v>14</v>
      </c>
      <c r="C6" s="2" t="s">
        <v>15</v>
      </c>
      <c r="D6" s="2" t="s">
        <v>13</v>
      </c>
      <c r="E6" s="2">
        <v>1.22</v>
      </c>
      <c r="F6" s="2">
        <v>362.0</v>
      </c>
      <c r="G6" s="2">
        <v>18.0</v>
      </c>
      <c r="H6" s="2">
        <v>10.0</v>
      </c>
      <c r="I6" s="2">
        <f t="shared" si="1"/>
        <v>30.16666667</v>
      </c>
      <c r="J6" s="3">
        <f t="shared" si="2"/>
        <v>6.961538462</v>
      </c>
    </row>
    <row r="7">
      <c r="A7" s="2" t="s">
        <v>20</v>
      </c>
      <c r="B7" s="2" t="s">
        <v>17</v>
      </c>
      <c r="C7" s="2" t="s">
        <v>18</v>
      </c>
      <c r="D7" s="2" t="s">
        <v>19</v>
      </c>
      <c r="E7" s="2">
        <v>1.48</v>
      </c>
      <c r="F7" s="2">
        <v>361.0</v>
      </c>
      <c r="G7" s="2">
        <v>16.0</v>
      </c>
      <c r="H7" s="2">
        <v>10.0</v>
      </c>
      <c r="I7" s="2">
        <f t="shared" si="1"/>
        <v>30.08333333</v>
      </c>
      <c r="J7" s="3">
        <f t="shared" si="2"/>
        <v>6.942307692</v>
      </c>
    </row>
    <row r="8">
      <c r="A8" s="2" t="s">
        <v>21</v>
      </c>
      <c r="B8" s="2" t="s">
        <v>22</v>
      </c>
      <c r="C8" s="2" t="s">
        <v>23</v>
      </c>
      <c r="D8" s="2" t="s">
        <v>24</v>
      </c>
      <c r="E8" s="2">
        <v>1.07</v>
      </c>
      <c r="F8" s="2">
        <v>137.0</v>
      </c>
      <c r="G8" s="2">
        <v>18.0</v>
      </c>
      <c r="H8" s="2">
        <v>4.0</v>
      </c>
      <c r="I8" s="2">
        <f t="shared" si="1"/>
        <v>11.41666667</v>
      </c>
      <c r="J8" s="3">
        <f t="shared" si="2"/>
        <v>2.634615385</v>
      </c>
    </row>
    <row r="9">
      <c r="A9" s="2" t="s">
        <v>25</v>
      </c>
      <c r="B9" s="2" t="s">
        <v>22</v>
      </c>
      <c r="C9" s="2" t="s">
        <v>23</v>
      </c>
      <c r="D9" s="2" t="s">
        <v>24</v>
      </c>
      <c r="E9" s="2">
        <v>1.07</v>
      </c>
      <c r="F9" s="2">
        <v>137.0</v>
      </c>
      <c r="G9" s="2">
        <v>18.0</v>
      </c>
      <c r="H9" s="2">
        <v>4.0</v>
      </c>
      <c r="I9" s="2">
        <f t="shared" si="1"/>
        <v>11.41666667</v>
      </c>
      <c r="J9" s="3">
        <f t="shared" si="2"/>
        <v>2.634615385</v>
      </c>
    </row>
    <row r="10">
      <c r="A10" s="2" t="s">
        <v>26</v>
      </c>
      <c r="B10" s="2" t="s">
        <v>11</v>
      </c>
      <c r="C10" s="2" t="s">
        <v>12</v>
      </c>
      <c r="D10" s="2" t="s">
        <v>13</v>
      </c>
      <c r="E10" s="2">
        <v>1.22</v>
      </c>
      <c r="F10" s="2">
        <v>362.0</v>
      </c>
      <c r="G10" s="2">
        <v>18.0</v>
      </c>
      <c r="H10" s="2">
        <v>10.0</v>
      </c>
      <c r="I10" s="2">
        <f t="shared" si="1"/>
        <v>30.16666667</v>
      </c>
      <c r="J10" s="3">
        <f t="shared" si="2"/>
        <v>6.961538462</v>
      </c>
    </row>
    <row r="11">
      <c r="A11" s="2" t="s">
        <v>26</v>
      </c>
      <c r="B11" s="2" t="s">
        <v>14</v>
      </c>
      <c r="C11" s="2" t="s">
        <v>15</v>
      </c>
      <c r="D11" s="2" t="s">
        <v>13</v>
      </c>
      <c r="E11" s="2">
        <v>1.22</v>
      </c>
      <c r="F11" s="2">
        <v>362.0</v>
      </c>
      <c r="G11" s="2">
        <v>18.0</v>
      </c>
      <c r="H11" s="2">
        <v>10.0</v>
      </c>
      <c r="I11" s="2">
        <f t="shared" si="1"/>
        <v>30.16666667</v>
      </c>
      <c r="J11" s="3">
        <f t="shared" si="2"/>
        <v>6.961538462</v>
      </c>
    </row>
    <row r="12">
      <c r="A12" s="2" t="s">
        <v>27</v>
      </c>
      <c r="B12" s="2" t="s">
        <v>17</v>
      </c>
      <c r="C12" s="2" t="s">
        <v>18</v>
      </c>
      <c r="D12" s="2" t="s">
        <v>19</v>
      </c>
      <c r="E12" s="2">
        <v>1.48</v>
      </c>
      <c r="F12" s="2">
        <v>361.0</v>
      </c>
      <c r="G12" s="2">
        <v>16.0</v>
      </c>
      <c r="H12" s="2">
        <v>10.0</v>
      </c>
      <c r="I12" s="2">
        <f t="shared" si="1"/>
        <v>30.08333333</v>
      </c>
      <c r="J12" s="3">
        <f t="shared" si="2"/>
        <v>6.942307692</v>
      </c>
    </row>
    <row r="13">
      <c r="A13" s="2" t="s">
        <v>28</v>
      </c>
      <c r="B13" s="2" t="s">
        <v>11</v>
      </c>
      <c r="C13" s="2" t="s">
        <v>15</v>
      </c>
      <c r="D13" s="2" t="s">
        <v>13</v>
      </c>
      <c r="E13" s="2">
        <v>1.22</v>
      </c>
      <c r="F13" s="2">
        <v>362.0</v>
      </c>
      <c r="G13" s="2">
        <v>18.0</v>
      </c>
      <c r="H13" s="2">
        <v>10.0</v>
      </c>
      <c r="I13" s="2">
        <f t="shared" si="1"/>
        <v>30.16666667</v>
      </c>
      <c r="J13" s="3">
        <f t="shared" si="2"/>
        <v>6.961538462</v>
      </c>
    </row>
    <row r="14">
      <c r="A14" s="4" t="s">
        <v>29</v>
      </c>
      <c r="B14" s="4" t="s">
        <v>30</v>
      </c>
      <c r="C14" s="2" t="s">
        <v>15</v>
      </c>
      <c r="D14" s="2" t="s">
        <v>13</v>
      </c>
      <c r="E14" s="2">
        <v>1.22</v>
      </c>
      <c r="F14" s="2">
        <v>362.0</v>
      </c>
      <c r="G14" s="2">
        <v>18.0</v>
      </c>
      <c r="H14" s="2">
        <v>10.0</v>
      </c>
      <c r="I14" s="2">
        <f t="shared" si="1"/>
        <v>30.16666667</v>
      </c>
      <c r="J14" s="3">
        <f t="shared" si="2"/>
        <v>6.961538462</v>
      </c>
    </row>
    <row r="15">
      <c r="A15" s="4" t="s">
        <v>29</v>
      </c>
      <c r="B15" s="4" t="s">
        <v>17</v>
      </c>
      <c r="C15" s="2" t="s">
        <v>18</v>
      </c>
      <c r="D15" s="2" t="s">
        <v>19</v>
      </c>
      <c r="E15" s="2">
        <v>1.48</v>
      </c>
      <c r="F15" s="2">
        <v>361.0</v>
      </c>
      <c r="G15" s="2">
        <v>16.0</v>
      </c>
      <c r="H15" s="2">
        <v>10.0</v>
      </c>
      <c r="I15" s="2">
        <f t="shared" si="1"/>
        <v>30.08333333</v>
      </c>
      <c r="J15" s="3">
        <f t="shared" si="2"/>
        <v>6.942307692</v>
      </c>
    </row>
    <row r="16">
      <c r="A16" s="4" t="s">
        <v>31</v>
      </c>
      <c r="B16" s="4" t="s">
        <v>32</v>
      </c>
      <c r="C16" s="2" t="s">
        <v>15</v>
      </c>
      <c r="D16" s="2" t="s">
        <v>13</v>
      </c>
      <c r="E16" s="2">
        <v>1.22</v>
      </c>
      <c r="F16" s="2">
        <v>362.0</v>
      </c>
      <c r="G16" s="2">
        <v>18.0</v>
      </c>
      <c r="H16" s="2">
        <v>10.0</v>
      </c>
      <c r="I16" s="2">
        <f t="shared" si="1"/>
        <v>30.16666667</v>
      </c>
      <c r="J16" s="3">
        <f t="shared" si="2"/>
        <v>6.961538462</v>
      </c>
    </row>
    <row r="17">
      <c r="A17" s="4" t="s">
        <v>31</v>
      </c>
      <c r="B17" s="4" t="s">
        <v>30</v>
      </c>
      <c r="C17" s="2" t="s">
        <v>15</v>
      </c>
      <c r="D17" s="2" t="s">
        <v>13</v>
      </c>
      <c r="E17" s="2">
        <v>1.22</v>
      </c>
      <c r="F17" s="2">
        <v>362.0</v>
      </c>
      <c r="G17" s="2">
        <v>18.0</v>
      </c>
      <c r="H17" s="2">
        <v>10.0</v>
      </c>
      <c r="I17" s="2">
        <f t="shared" si="1"/>
        <v>30.16666667</v>
      </c>
      <c r="J17" s="3">
        <f t="shared" si="2"/>
        <v>6.961538462</v>
      </c>
    </row>
    <row r="18">
      <c r="A18" s="4" t="s">
        <v>33</v>
      </c>
      <c r="B18" s="4" t="s">
        <v>17</v>
      </c>
      <c r="C18" s="2" t="s">
        <v>18</v>
      </c>
      <c r="D18" s="2" t="s">
        <v>19</v>
      </c>
      <c r="E18" s="2">
        <v>1.48</v>
      </c>
      <c r="F18" s="2">
        <v>361.0</v>
      </c>
      <c r="G18" s="2">
        <v>16.0</v>
      </c>
      <c r="H18" s="2">
        <v>10.0</v>
      </c>
      <c r="I18" s="2">
        <f t="shared" si="1"/>
        <v>30.08333333</v>
      </c>
      <c r="J18" s="3">
        <f t="shared" si="2"/>
        <v>6.942307692</v>
      </c>
    </row>
    <row r="19">
      <c r="A19" s="4" t="s">
        <v>34</v>
      </c>
      <c r="B19" s="4" t="s">
        <v>32</v>
      </c>
      <c r="C19" s="2" t="s">
        <v>15</v>
      </c>
      <c r="D19" s="2" t="s">
        <v>13</v>
      </c>
      <c r="E19" s="2">
        <v>1.22</v>
      </c>
      <c r="F19" s="2">
        <v>362.0</v>
      </c>
      <c r="G19" s="2">
        <v>18.0</v>
      </c>
      <c r="H19" s="2">
        <v>10.0</v>
      </c>
      <c r="I19" s="2">
        <f t="shared" si="1"/>
        <v>30.16666667</v>
      </c>
      <c r="J19" s="3">
        <f t="shared" si="2"/>
        <v>6.961538462</v>
      </c>
    </row>
    <row r="20">
      <c r="A20" s="4" t="s">
        <v>34</v>
      </c>
      <c r="B20" s="4" t="s">
        <v>30</v>
      </c>
      <c r="C20" s="2" t="s">
        <v>15</v>
      </c>
      <c r="D20" s="2" t="s">
        <v>13</v>
      </c>
      <c r="E20" s="2">
        <v>1.22</v>
      </c>
      <c r="F20" s="2">
        <v>362.0</v>
      </c>
      <c r="G20" s="2">
        <v>18.0</v>
      </c>
      <c r="H20" s="2">
        <v>10.0</v>
      </c>
      <c r="I20" s="2">
        <f t="shared" si="1"/>
        <v>30.16666667</v>
      </c>
      <c r="J20" s="3">
        <f t="shared" si="2"/>
        <v>6.961538462</v>
      </c>
    </row>
    <row r="21">
      <c r="A21" s="4" t="s">
        <v>34</v>
      </c>
      <c r="B21" s="4" t="s">
        <v>17</v>
      </c>
      <c r="C21" s="2" t="s">
        <v>18</v>
      </c>
      <c r="D21" s="2" t="s">
        <v>19</v>
      </c>
      <c r="E21" s="2">
        <v>1.48</v>
      </c>
      <c r="F21" s="2">
        <v>361.0</v>
      </c>
      <c r="G21" s="2">
        <v>16.0</v>
      </c>
      <c r="H21" s="2">
        <v>10.0</v>
      </c>
      <c r="I21" s="2">
        <f t="shared" si="1"/>
        <v>30.08333333</v>
      </c>
      <c r="J21" s="3">
        <f t="shared" si="2"/>
        <v>6.942307692</v>
      </c>
    </row>
    <row r="22">
      <c r="A22" s="4" t="s">
        <v>35</v>
      </c>
      <c r="B22" s="4" t="s">
        <v>32</v>
      </c>
      <c r="C22" s="2" t="s">
        <v>15</v>
      </c>
      <c r="D22" s="2" t="s">
        <v>13</v>
      </c>
      <c r="E22" s="2">
        <v>1.22</v>
      </c>
      <c r="F22" s="2">
        <v>362.0</v>
      </c>
      <c r="G22" s="2">
        <v>18.0</v>
      </c>
      <c r="H22" s="2">
        <v>10.0</v>
      </c>
      <c r="I22" s="2">
        <f t="shared" si="1"/>
        <v>30.16666667</v>
      </c>
      <c r="J22" s="3">
        <f t="shared" si="2"/>
        <v>6.961538462</v>
      </c>
    </row>
    <row r="23">
      <c r="A23" s="4" t="s">
        <v>35</v>
      </c>
      <c r="B23" s="4" t="s">
        <v>30</v>
      </c>
      <c r="C23" s="2" t="s">
        <v>15</v>
      </c>
      <c r="D23" s="2" t="s">
        <v>13</v>
      </c>
      <c r="E23" s="2">
        <v>1.22</v>
      </c>
      <c r="F23" s="2">
        <v>362.0</v>
      </c>
      <c r="G23" s="2">
        <v>18.0</v>
      </c>
      <c r="H23" s="2">
        <v>10.0</v>
      </c>
      <c r="I23" s="2">
        <f t="shared" si="1"/>
        <v>30.16666667</v>
      </c>
      <c r="J23" s="3">
        <f t="shared" si="2"/>
        <v>6.961538462</v>
      </c>
    </row>
    <row r="24">
      <c r="A24" s="4" t="s">
        <v>36</v>
      </c>
      <c r="B24" s="4" t="s">
        <v>17</v>
      </c>
      <c r="C24" s="2" t="s">
        <v>18</v>
      </c>
      <c r="D24" s="2" t="s">
        <v>19</v>
      </c>
      <c r="E24" s="2">
        <v>1.48</v>
      </c>
      <c r="F24" s="2">
        <v>361.0</v>
      </c>
      <c r="G24" s="2">
        <v>16.0</v>
      </c>
      <c r="H24" s="2">
        <v>10.0</v>
      </c>
      <c r="I24" s="2">
        <f t="shared" si="1"/>
        <v>30.08333333</v>
      </c>
      <c r="J24" s="3">
        <f t="shared" si="2"/>
        <v>6.942307692</v>
      </c>
    </row>
    <row r="25">
      <c r="A25" s="4" t="s">
        <v>37</v>
      </c>
      <c r="B25" s="4" t="s">
        <v>32</v>
      </c>
      <c r="C25" s="2" t="s">
        <v>15</v>
      </c>
      <c r="D25" s="2" t="s">
        <v>13</v>
      </c>
      <c r="E25" s="2">
        <v>1.22</v>
      </c>
      <c r="F25" s="2">
        <v>362.0</v>
      </c>
      <c r="G25" s="2">
        <v>18.0</v>
      </c>
      <c r="H25" s="2">
        <v>10.0</v>
      </c>
      <c r="I25" s="2">
        <f t="shared" si="1"/>
        <v>30.16666667</v>
      </c>
      <c r="J25" s="3">
        <f t="shared" si="2"/>
        <v>6.961538462</v>
      </c>
    </row>
    <row r="26">
      <c r="A26" s="4" t="s">
        <v>37</v>
      </c>
      <c r="B26" s="4" t="s">
        <v>30</v>
      </c>
      <c r="C26" s="2" t="s">
        <v>15</v>
      </c>
      <c r="D26" s="2" t="s">
        <v>13</v>
      </c>
      <c r="E26" s="2">
        <v>1.22</v>
      </c>
      <c r="F26" s="2">
        <v>362.0</v>
      </c>
      <c r="G26" s="2">
        <v>18.0</v>
      </c>
      <c r="H26" s="2">
        <v>10.0</v>
      </c>
      <c r="I26" s="2">
        <f t="shared" si="1"/>
        <v>30.16666667</v>
      </c>
      <c r="J26" s="3">
        <f t="shared" si="2"/>
        <v>6.961538462</v>
      </c>
    </row>
    <row r="27">
      <c r="A27" s="4" t="s">
        <v>37</v>
      </c>
      <c r="B27" s="4" t="s">
        <v>17</v>
      </c>
      <c r="C27" s="2" t="s">
        <v>18</v>
      </c>
      <c r="D27" s="2" t="s">
        <v>19</v>
      </c>
      <c r="E27" s="2">
        <v>1.48</v>
      </c>
      <c r="F27" s="2">
        <v>361.0</v>
      </c>
      <c r="G27" s="2">
        <v>16.0</v>
      </c>
      <c r="H27" s="2">
        <v>10.0</v>
      </c>
      <c r="I27" s="2">
        <f t="shared" si="1"/>
        <v>30.08333333</v>
      </c>
      <c r="J27" s="3">
        <f t="shared" si="2"/>
        <v>6.942307692</v>
      </c>
    </row>
    <row r="28">
      <c r="A28" s="4" t="s">
        <v>38</v>
      </c>
      <c r="B28" s="4" t="s">
        <v>32</v>
      </c>
      <c r="C28" s="2" t="s">
        <v>15</v>
      </c>
      <c r="D28" s="2" t="s">
        <v>13</v>
      </c>
      <c r="E28" s="2">
        <v>1.22</v>
      </c>
      <c r="F28" s="2">
        <v>362.0</v>
      </c>
      <c r="G28" s="2">
        <v>18.0</v>
      </c>
      <c r="H28" s="2">
        <v>10.0</v>
      </c>
      <c r="I28" s="2">
        <f t="shared" si="1"/>
        <v>30.16666667</v>
      </c>
      <c r="J28" s="3">
        <f t="shared" si="2"/>
        <v>6.961538462</v>
      </c>
    </row>
    <row r="29">
      <c r="A29" s="4" t="s">
        <v>38</v>
      </c>
      <c r="B29" s="4" t="s">
        <v>30</v>
      </c>
      <c r="C29" s="2" t="s">
        <v>15</v>
      </c>
      <c r="D29" s="2" t="s">
        <v>13</v>
      </c>
      <c r="E29" s="2">
        <v>1.22</v>
      </c>
      <c r="F29" s="2">
        <v>362.0</v>
      </c>
      <c r="G29" s="2">
        <v>18.0</v>
      </c>
      <c r="H29" s="2">
        <v>10.0</v>
      </c>
      <c r="I29" s="2">
        <f t="shared" si="1"/>
        <v>30.16666667</v>
      </c>
      <c r="J29" s="3">
        <f t="shared" si="2"/>
        <v>6.961538462</v>
      </c>
    </row>
    <row r="30">
      <c r="A30" s="4" t="s">
        <v>39</v>
      </c>
      <c r="B30" s="4" t="s">
        <v>17</v>
      </c>
      <c r="C30" s="2" t="s">
        <v>18</v>
      </c>
      <c r="D30" s="2" t="s">
        <v>19</v>
      </c>
      <c r="E30" s="2">
        <v>1.48</v>
      </c>
      <c r="F30" s="2">
        <v>361.0</v>
      </c>
      <c r="G30" s="2">
        <v>16.0</v>
      </c>
      <c r="H30" s="2">
        <v>10.0</v>
      </c>
      <c r="I30" s="2">
        <f t="shared" si="1"/>
        <v>30.08333333</v>
      </c>
      <c r="J30" s="3">
        <f t="shared" si="2"/>
        <v>6.942307692</v>
      </c>
    </row>
    <row r="31">
      <c r="A31" s="4" t="s">
        <v>40</v>
      </c>
      <c r="B31" s="4" t="s">
        <v>32</v>
      </c>
      <c r="C31" s="2" t="s">
        <v>15</v>
      </c>
      <c r="D31" s="2" t="s">
        <v>13</v>
      </c>
      <c r="E31" s="2">
        <v>1.22</v>
      </c>
      <c r="F31" s="2">
        <v>362.0</v>
      </c>
      <c r="G31" s="2">
        <v>18.0</v>
      </c>
      <c r="H31" s="2">
        <v>10.0</v>
      </c>
      <c r="I31" s="2">
        <f t="shared" si="1"/>
        <v>30.16666667</v>
      </c>
      <c r="J31" s="3">
        <f t="shared" si="2"/>
        <v>6.961538462</v>
      </c>
    </row>
    <row r="32">
      <c r="A32" s="4" t="s">
        <v>40</v>
      </c>
      <c r="B32" s="4" t="s">
        <v>30</v>
      </c>
      <c r="C32" s="2" t="s">
        <v>15</v>
      </c>
      <c r="D32" s="2" t="s">
        <v>13</v>
      </c>
      <c r="E32" s="2">
        <v>1.22</v>
      </c>
      <c r="F32" s="2">
        <v>362.0</v>
      </c>
      <c r="G32" s="2">
        <v>18.0</v>
      </c>
      <c r="H32" s="2">
        <v>10.0</v>
      </c>
      <c r="I32" s="2">
        <f t="shared" si="1"/>
        <v>30.16666667</v>
      </c>
      <c r="J32" s="3">
        <f t="shared" si="2"/>
        <v>6.961538462</v>
      </c>
    </row>
    <row r="33">
      <c r="A33" s="4" t="s">
        <v>40</v>
      </c>
      <c r="B33" s="4" t="s">
        <v>17</v>
      </c>
      <c r="C33" s="2" t="s">
        <v>18</v>
      </c>
      <c r="D33" s="2" t="s">
        <v>19</v>
      </c>
      <c r="E33" s="2">
        <v>1.48</v>
      </c>
      <c r="F33" s="2">
        <v>361.0</v>
      </c>
      <c r="G33" s="2">
        <v>16.0</v>
      </c>
      <c r="H33" s="2">
        <v>10.0</v>
      </c>
      <c r="I33" s="2">
        <f t="shared" si="1"/>
        <v>30.08333333</v>
      </c>
      <c r="J33" s="3">
        <f t="shared" si="2"/>
        <v>6.942307692</v>
      </c>
    </row>
    <row r="34">
      <c r="A34" s="4" t="s">
        <v>41</v>
      </c>
      <c r="B34" s="4" t="s">
        <v>42</v>
      </c>
      <c r="C34" s="2" t="s">
        <v>23</v>
      </c>
      <c r="D34" s="2" t="s">
        <v>24</v>
      </c>
      <c r="E34" s="2">
        <v>1.07</v>
      </c>
      <c r="F34" s="2">
        <v>137.0</v>
      </c>
      <c r="G34" s="2">
        <v>18.0</v>
      </c>
      <c r="H34" s="2">
        <v>4.0</v>
      </c>
      <c r="I34" s="2">
        <f t="shared" si="1"/>
        <v>11.41666667</v>
      </c>
      <c r="J34" s="3">
        <f t="shared" si="2"/>
        <v>2.634615385</v>
      </c>
    </row>
    <row r="35">
      <c r="A35" s="4" t="s">
        <v>43</v>
      </c>
      <c r="B35" s="4" t="s">
        <v>42</v>
      </c>
      <c r="C35" s="2" t="s">
        <v>23</v>
      </c>
      <c r="D35" s="2" t="s">
        <v>24</v>
      </c>
      <c r="E35" s="2">
        <v>1.07</v>
      </c>
      <c r="F35" s="2">
        <v>137.0</v>
      </c>
      <c r="G35" s="2">
        <v>18.0</v>
      </c>
      <c r="H35" s="2">
        <v>4.0</v>
      </c>
      <c r="I35" s="2">
        <f t="shared" si="1"/>
        <v>11.41666667</v>
      </c>
      <c r="J35" s="3">
        <f t="shared" si="2"/>
        <v>2.634615385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48.75"/>
    <col customWidth="1" min="3" max="3" width="22.13"/>
    <col customWidth="1" min="4" max="4" width="16.38"/>
    <col customWidth="1" min="5" max="5" width="46.38"/>
    <col customWidth="1" min="6" max="6" width="35.0"/>
    <col customWidth="1" min="7" max="7" width="31.0"/>
    <col customWidth="1" min="8" max="8" width="29.5"/>
    <col customWidth="1" min="9" max="9" width="34.75"/>
    <col customWidth="1" min="10" max="10" width="37.0"/>
    <col customWidth="1" min="11" max="11" width="23.75"/>
    <col customWidth="1" min="12" max="12" width="15.25"/>
  </cols>
  <sheetData>
    <row r="1">
      <c r="A1" s="5" t="s">
        <v>44</v>
      </c>
      <c r="B1" s="5" t="s">
        <v>45</v>
      </c>
      <c r="C1" s="5" t="s">
        <v>2</v>
      </c>
      <c r="D1" s="5" t="s">
        <v>46</v>
      </c>
      <c r="E1" s="5" t="s">
        <v>47</v>
      </c>
      <c r="F1" s="5" t="s">
        <v>48</v>
      </c>
      <c r="G1" s="1" t="s">
        <v>6</v>
      </c>
      <c r="H1" s="2" t="s">
        <v>49</v>
      </c>
      <c r="I1" s="1" t="s">
        <v>8</v>
      </c>
      <c r="J1" s="1" t="s">
        <v>9</v>
      </c>
      <c r="K1" s="1" t="s">
        <v>50</v>
      </c>
      <c r="L1" s="1" t="s">
        <v>51</v>
      </c>
    </row>
    <row r="2">
      <c r="A2" s="6" t="s">
        <v>52</v>
      </c>
      <c r="B2" s="2" t="s">
        <v>53</v>
      </c>
      <c r="C2" s="2" t="s">
        <v>54</v>
      </c>
      <c r="D2" s="2" t="s">
        <v>55</v>
      </c>
      <c r="E2" s="2">
        <v>12.893395798</v>
      </c>
      <c r="F2" s="2">
        <v>123.0</v>
      </c>
      <c r="G2" s="2">
        <v>8.0</v>
      </c>
      <c r="H2" s="2">
        <v>2.0</v>
      </c>
      <c r="I2" s="3">
        <f t="shared" ref="I2:I13" si="1"> F2 / 12</f>
        <v>10.25</v>
      </c>
      <c r="J2" s="3">
        <f t="shared" ref="J2:J13" si="2"> F2 / 52</f>
        <v>2.365384615</v>
      </c>
    </row>
    <row r="3">
      <c r="A3" s="6" t="s">
        <v>56</v>
      </c>
      <c r="B3" s="2" t="s">
        <v>53</v>
      </c>
      <c r="C3" s="2" t="s">
        <v>54</v>
      </c>
      <c r="D3" s="2" t="s">
        <v>55</v>
      </c>
      <c r="E3" s="2">
        <v>12.893395798</v>
      </c>
      <c r="F3" s="2">
        <v>123.0</v>
      </c>
      <c r="G3" s="2">
        <v>8.0</v>
      </c>
      <c r="H3" s="2">
        <v>2.0</v>
      </c>
      <c r="I3" s="3">
        <f t="shared" si="1"/>
        <v>10.25</v>
      </c>
      <c r="J3" s="3">
        <f t="shared" si="2"/>
        <v>2.365384615</v>
      </c>
    </row>
    <row r="4">
      <c r="A4" s="7" t="s">
        <v>57</v>
      </c>
      <c r="B4" s="2" t="s">
        <v>58</v>
      </c>
      <c r="C4" s="2" t="s">
        <v>54</v>
      </c>
      <c r="D4" s="2" t="s">
        <v>59</v>
      </c>
      <c r="E4" s="2" t="s">
        <v>60</v>
      </c>
      <c r="F4" s="2">
        <v>18409.0</v>
      </c>
      <c r="G4" s="2">
        <v>2492.0</v>
      </c>
      <c r="H4" s="2">
        <v>1120.0</v>
      </c>
      <c r="I4" s="3">
        <f t="shared" si="1"/>
        <v>1534.083333</v>
      </c>
      <c r="J4" s="3">
        <f t="shared" si="2"/>
        <v>354.0192308</v>
      </c>
      <c r="K4" s="2">
        <v>1118.0</v>
      </c>
      <c r="L4" s="8" t="s">
        <v>61</v>
      </c>
    </row>
    <row r="5">
      <c r="A5" s="7" t="s">
        <v>62</v>
      </c>
      <c r="B5" s="2" t="s">
        <v>63</v>
      </c>
      <c r="C5" s="2" t="s">
        <v>64</v>
      </c>
      <c r="D5" s="2" t="s">
        <v>55</v>
      </c>
      <c r="E5" s="2">
        <v>12.893395798</v>
      </c>
      <c r="F5" s="2">
        <v>257.0</v>
      </c>
      <c r="G5" s="2">
        <v>40.0</v>
      </c>
      <c r="H5" s="2">
        <v>4.0</v>
      </c>
      <c r="I5" s="3">
        <f t="shared" si="1"/>
        <v>21.41666667</v>
      </c>
      <c r="J5" s="3">
        <f t="shared" si="2"/>
        <v>4.942307692</v>
      </c>
    </row>
    <row r="6">
      <c r="A6" s="7" t="s">
        <v>62</v>
      </c>
      <c r="B6" s="2" t="s">
        <v>65</v>
      </c>
      <c r="C6" s="2" t="s">
        <v>64</v>
      </c>
      <c r="D6" s="2" t="s">
        <v>55</v>
      </c>
      <c r="E6" s="2">
        <v>12.893395798</v>
      </c>
      <c r="F6" s="2">
        <v>266.0</v>
      </c>
      <c r="G6" s="2">
        <v>40.0</v>
      </c>
      <c r="H6" s="2">
        <v>4.0</v>
      </c>
      <c r="I6" s="3">
        <f t="shared" si="1"/>
        <v>22.16666667</v>
      </c>
      <c r="J6" s="3">
        <f t="shared" si="2"/>
        <v>5.115384615</v>
      </c>
    </row>
    <row r="7">
      <c r="A7" s="7" t="s">
        <v>66</v>
      </c>
      <c r="B7" s="2" t="s">
        <v>58</v>
      </c>
      <c r="C7" s="2" t="s">
        <v>54</v>
      </c>
      <c r="D7" s="2" t="s">
        <v>59</v>
      </c>
      <c r="E7" s="2" t="s">
        <v>60</v>
      </c>
      <c r="F7" s="2">
        <v>18409.0</v>
      </c>
      <c r="G7" s="2">
        <v>2492.0</v>
      </c>
      <c r="H7" s="2">
        <v>1120.0</v>
      </c>
      <c r="I7" s="3">
        <f t="shared" si="1"/>
        <v>1534.083333</v>
      </c>
      <c r="J7" s="3">
        <f t="shared" si="2"/>
        <v>354.0192308</v>
      </c>
      <c r="K7" s="2">
        <v>2.0</v>
      </c>
      <c r="L7" s="9" t="s">
        <v>67</v>
      </c>
    </row>
    <row r="8">
      <c r="A8" s="7" t="s">
        <v>68</v>
      </c>
      <c r="B8" s="2" t="s">
        <v>63</v>
      </c>
      <c r="C8" s="2" t="s">
        <v>64</v>
      </c>
      <c r="D8" s="2" t="s">
        <v>55</v>
      </c>
      <c r="E8" s="2">
        <v>12.893395798</v>
      </c>
      <c r="F8" s="2">
        <v>257.0</v>
      </c>
      <c r="G8" s="2">
        <v>40.0</v>
      </c>
      <c r="H8" s="2">
        <v>4.0</v>
      </c>
      <c r="I8" s="3">
        <f t="shared" si="1"/>
        <v>21.41666667</v>
      </c>
      <c r="J8" s="3">
        <f t="shared" si="2"/>
        <v>4.942307692</v>
      </c>
    </row>
    <row r="9">
      <c r="A9" s="7" t="s">
        <v>68</v>
      </c>
      <c r="B9" s="2" t="s">
        <v>65</v>
      </c>
      <c r="C9" s="2" t="s">
        <v>64</v>
      </c>
      <c r="D9" s="2" t="s">
        <v>55</v>
      </c>
      <c r="E9" s="2">
        <v>12.893395798</v>
      </c>
      <c r="F9" s="2">
        <v>266.0</v>
      </c>
      <c r="G9" s="2">
        <v>40.0</v>
      </c>
      <c r="H9" s="2">
        <v>4.0</v>
      </c>
      <c r="I9" s="3">
        <f t="shared" si="1"/>
        <v>22.16666667</v>
      </c>
      <c r="J9" s="3">
        <f t="shared" si="2"/>
        <v>5.115384615</v>
      </c>
    </row>
    <row r="10">
      <c r="A10" s="7" t="s">
        <v>69</v>
      </c>
      <c r="B10" s="2" t="s">
        <v>63</v>
      </c>
      <c r="C10" s="2" t="s">
        <v>64</v>
      </c>
      <c r="D10" s="2" t="s">
        <v>55</v>
      </c>
      <c r="E10" s="2">
        <v>12.893395798</v>
      </c>
      <c r="F10" s="2">
        <v>257.0</v>
      </c>
      <c r="G10" s="2">
        <v>40.0</v>
      </c>
      <c r="H10" s="2">
        <v>4.0</v>
      </c>
      <c r="I10" s="3">
        <f t="shared" si="1"/>
        <v>21.41666667</v>
      </c>
      <c r="J10" s="3">
        <f t="shared" si="2"/>
        <v>4.942307692</v>
      </c>
    </row>
    <row r="11">
      <c r="A11" s="7" t="s">
        <v>69</v>
      </c>
      <c r="B11" s="2" t="s">
        <v>65</v>
      </c>
      <c r="C11" s="2" t="s">
        <v>64</v>
      </c>
      <c r="D11" s="2" t="s">
        <v>55</v>
      </c>
      <c r="E11" s="2">
        <v>12.893395798</v>
      </c>
      <c r="F11" s="2">
        <v>266.0</v>
      </c>
      <c r="G11" s="2">
        <v>40.0</v>
      </c>
      <c r="H11" s="2">
        <v>4.0</v>
      </c>
      <c r="I11" s="3">
        <f t="shared" si="1"/>
        <v>22.16666667</v>
      </c>
      <c r="J11" s="3">
        <f t="shared" si="2"/>
        <v>5.115384615</v>
      </c>
    </row>
    <row r="12">
      <c r="A12" s="7" t="s">
        <v>70</v>
      </c>
      <c r="B12" s="2" t="s">
        <v>63</v>
      </c>
      <c r="C12" s="2" t="s">
        <v>64</v>
      </c>
      <c r="D12" s="2" t="s">
        <v>55</v>
      </c>
      <c r="E12" s="2">
        <v>12.893395798</v>
      </c>
      <c r="F12" s="2">
        <v>257.0</v>
      </c>
      <c r="G12" s="2">
        <v>40.0</v>
      </c>
      <c r="H12" s="2">
        <v>4.0</v>
      </c>
      <c r="I12" s="3">
        <f t="shared" si="1"/>
        <v>21.41666667</v>
      </c>
      <c r="J12" s="3">
        <f t="shared" si="2"/>
        <v>4.942307692</v>
      </c>
    </row>
    <row r="13">
      <c r="A13" s="7" t="s">
        <v>70</v>
      </c>
      <c r="B13" s="2" t="s">
        <v>65</v>
      </c>
      <c r="C13" s="2" t="s">
        <v>64</v>
      </c>
      <c r="D13" s="2" t="s">
        <v>55</v>
      </c>
      <c r="E13" s="2">
        <v>12.893395798</v>
      </c>
      <c r="F13" s="2">
        <v>266.0</v>
      </c>
      <c r="G13" s="2">
        <v>40.0</v>
      </c>
      <c r="H13" s="2">
        <v>4.0</v>
      </c>
      <c r="I13" s="3">
        <f t="shared" si="1"/>
        <v>22.16666667</v>
      </c>
      <c r="J13" s="3">
        <f t="shared" si="2"/>
        <v>5.115384615</v>
      </c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44.63"/>
    <col customWidth="1" min="3" max="3" width="27.5"/>
    <col customWidth="1" min="4" max="4" width="16.0"/>
    <col customWidth="1" min="5" max="5" width="31.13"/>
    <col customWidth="1" min="9" max="9" width="31.25"/>
    <col customWidth="1" min="10" max="10" width="30.0"/>
    <col customWidth="1" min="11" max="11" width="37.0"/>
    <col customWidth="1" min="12" max="12" width="35.75"/>
  </cols>
  <sheetData>
    <row r="1">
      <c r="A1" s="1" t="s">
        <v>44</v>
      </c>
      <c r="B1" s="1" t="s">
        <v>1</v>
      </c>
      <c r="C1" s="1" t="s">
        <v>2</v>
      </c>
      <c r="D1" s="1" t="s">
        <v>3</v>
      </c>
      <c r="E1" s="1" t="s">
        <v>71</v>
      </c>
      <c r="F1" s="1" t="s">
        <v>5</v>
      </c>
      <c r="I1" s="1" t="s">
        <v>6</v>
      </c>
      <c r="J1" s="2" t="s">
        <v>72</v>
      </c>
      <c r="K1" s="1" t="s">
        <v>8</v>
      </c>
      <c r="L1" s="1" t="s">
        <v>9</v>
      </c>
    </row>
    <row r="2">
      <c r="A2" s="2" t="s">
        <v>62</v>
      </c>
      <c r="B2" s="2" t="s">
        <v>63</v>
      </c>
      <c r="C2" s="2" t="s">
        <v>73</v>
      </c>
      <c r="D2" s="2" t="s">
        <v>55</v>
      </c>
      <c r="E2" s="2">
        <v>12.32</v>
      </c>
      <c r="F2" s="2">
        <v>95.0</v>
      </c>
      <c r="I2" s="2">
        <v>40.0</v>
      </c>
      <c r="J2" s="2">
        <v>4.0</v>
      </c>
      <c r="K2" s="3">
        <f t="shared" ref="K2:K9" si="1"> F2 / 12</f>
        <v>7.916666667</v>
      </c>
      <c r="L2" s="3">
        <f t="shared" ref="L2:L9" si="2"> F2 / 52</f>
        <v>1.826923077</v>
      </c>
    </row>
    <row r="3">
      <c r="A3" s="2" t="s">
        <v>62</v>
      </c>
      <c r="B3" s="2" t="s">
        <v>65</v>
      </c>
      <c r="C3" s="2" t="s">
        <v>73</v>
      </c>
      <c r="D3" s="2" t="s">
        <v>55</v>
      </c>
      <c r="E3" s="2">
        <v>12.32</v>
      </c>
      <c r="F3" s="2">
        <v>99.0</v>
      </c>
      <c r="I3" s="2">
        <v>40.0</v>
      </c>
      <c r="J3" s="2">
        <v>4.0</v>
      </c>
      <c r="K3" s="3">
        <f t="shared" si="1"/>
        <v>8.25</v>
      </c>
      <c r="L3" s="3">
        <f t="shared" si="2"/>
        <v>1.903846154</v>
      </c>
    </row>
    <row r="4">
      <c r="A4" s="2" t="s">
        <v>68</v>
      </c>
      <c r="B4" s="2" t="s">
        <v>63</v>
      </c>
      <c r="C4" s="2" t="s">
        <v>73</v>
      </c>
      <c r="D4" s="2" t="s">
        <v>55</v>
      </c>
      <c r="E4" s="2">
        <v>12.32</v>
      </c>
      <c r="F4" s="2">
        <v>95.0</v>
      </c>
      <c r="I4" s="2">
        <v>40.0</v>
      </c>
      <c r="J4" s="2">
        <v>4.0</v>
      </c>
      <c r="K4" s="3">
        <f t="shared" si="1"/>
        <v>7.916666667</v>
      </c>
      <c r="L4" s="3">
        <f t="shared" si="2"/>
        <v>1.826923077</v>
      </c>
    </row>
    <row r="5">
      <c r="A5" s="2" t="s">
        <v>68</v>
      </c>
      <c r="B5" s="2" t="s">
        <v>65</v>
      </c>
      <c r="C5" s="2" t="s">
        <v>73</v>
      </c>
      <c r="D5" s="2" t="s">
        <v>55</v>
      </c>
      <c r="E5" s="2">
        <v>12.32</v>
      </c>
      <c r="F5" s="2">
        <v>99.0</v>
      </c>
      <c r="I5" s="2">
        <v>40.0</v>
      </c>
      <c r="J5" s="2">
        <v>4.0</v>
      </c>
      <c r="K5" s="3">
        <f t="shared" si="1"/>
        <v>8.25</v>
      </c>
      <c r="L5" s="3">
        <f t="shared" si="2"/>
        <v>1.903846154</v>
      </c>
    </row>
    <row r="6">
      <c r="A6" s="2" t="s">
        <v>69</v>
      </c>
      <c r="B6" s="2" t="s">
        <v>63</v>
      </c>
      <c r="C6" s="2" t="s">
        <v>73</v>
      </c>
      <c r="D6" s="2" t="s">
        <v>55</v>
      </c>
      <c r="E6" s="2">
        <v>12.32</v>
      </c>
      <c r="F6" s="2">
        <v>95.0</v>
      </c>
      <c r="I6" s="2">
        <v>40.0</v>
      </c>
      <c r="J6" s="2">
        <v>4.0</v>
      </c>
      <c r="K6" s="3">
        <f t="shared" si="1"/>
        <v>7.916666667</v>
      </c>
      <c r="L6" s="3">
        <f t="shared" si="2"/>
        <v>1.826923077</v>
      </c>
    </row>
    <row r="7">
      <c r="A7" s="2" t="s">
        <v>69</v>
      </c>
      <c r="B7" s="2" t="s">
        <v>65</v>
      </c>
      <c r="C7" s="2" t="s">
        <v>73</v>
      </c>
      <c r="D7" s="2" t="s">
        <v>55</v>
      </c>
      <c r="E7" s="2">
        <v>12.32</v>
      </c>
      <c r="F7" s="2">
        <v>99.0</v>
      </c>
      <c r="I7" s="2">
        <v>40.0</v>
      </c>
      <c r="J7" s="2">
        <v>4.0</v>
      </c>
      <c r="K7" s="3">
        <f t="shared" si="1"/>
        <v>8.25</v>
      </c>
      <c r="L7" s="3">
        <f t="shared" si="2"/>
        <v>1.903846154</v>
      </c>
    </row>
    <row r="8">
      <c r="A8" s="2" t="s">
        <v>70</v>
      </c>
      <c r="B8" s="2" t="s">
        <v>65</v>
      </c>
      <c r="C8" s="2" t="s">
        <v>73</v>
      </c>
      <c r="D8" s="2" t="s">
        <v>55</v>
      </c>
      <c r="E8" s="2">
        <v>12.32</v>
      </c>
      <c r="F8" s="2">
        <v>99.0</v>
      </c>
      <c r="I8" s="2">
        <v>40.0</v>
      </c>
      <c r="J8" s="2">
        <v>4.0</v>
      </c>
      <c r="K8" s="3">
        <f t="shared" si="1"/>
        <v>8.25</v>
      </c>
      <c r="L8" s="3">
        <f t="shared" si="2"/>
        <v>1.903846154</v>
      </c>
    </row>
    <row r="9">
      <c r="A9" s="2" t="s">
        <v>74</v>
      </c>
      <c r="B9" s="2" t="s">
        <v>63</v>
      </c>
      <c r="C9" s="2" t="s">
        <v>73</v>
      </c>
      <c r="D9" s="2" t="s">
        <v>55</v>
      </c>
      <c r="E9" s="2">
        <v>12.32</v>
      </c>
      <c r="F9" s="2">
        <v>95.0</v>
      </c>
      <c r="I9" s="2">
        <v>40.0</v>
      </c>
      <c r="J9" s="2">
        <v>4.0</v>
      </c>
      <c r="K9" s="3">
        <f t="shared" si="1"/>
        <v>7.916666667</v>
      </c>
      <c r="L9" s="3">
        <f t="shared" si="2"/>
        <v>1.826923077</v>
      </c>
    </row>
  </sheetData>
  <drawing r:id="rId1"/>
</worksheet>
</file>